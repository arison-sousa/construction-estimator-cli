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posta" sheetId="1" r:id="rId1"/>
  </sheets>
  <definedNames>
    <definedName name="_xlnm.Print_Area" localSheetId="0">Proposta!$A$1:$I$30</definedName>
    <definedName name="_xlnm.Print_Titles" localSheetId="0">Proposta!$1:$7</definedName>
  </definedNames>
  <calcPr calcId="124519" fullCalcOnLoad="1"/>
</workbook>
</file>

<file path=xl/sharedStrings.xml><?xml version="1.0" encoding="utf-8"?>
<sst xmlns="http://schemas.openxmlformats.org/spreadsheetml/2006/main" count="53" uniqueCount="51">
  <si>
    <t>DEBASE CONSTRUTORA LTDA
CNPJ 30.884.014/0001-86    INS ESTADUAL 25.873.821-9
Rua Jacutinga nº 449 Bairro Efapi
Chapecó - SC
CEP 89.809-810</t>
  </si>
  <si>
    <t>CLIENTE:</t>
  </si>
  <si>
    <t>Aurora Coop</t>
  </si>
  <si>
    <t>OBRA:</t>
  </si>
  <si>
    <t>Restauração e construção de muretas revestidas em chapa</t>
  </si>
  <si>
    <t>CONTATO:</t>
  </si>
  <si>
    <t>Raviel Henrique Wirth</t>
  </si>
  <si>
    <t>LOCAL:</t>
  </si>
  <si>
    <t>Chapecó - FACH I</t>
  </si>
  <si>
    <t>PROPOSTA:</t>
  </si>
  <si>
    <t>0698-26-00</t>
  </si>
  <si>
    <t>DATA:</t>
  </si>
  <si>
    <t>04/08/2026</t>
  </si>
  <si>
    <t>ITEM</t>
  </si>
  <si>
    <t>SERVIÇOS</t>
  </si>
  <si>
    <t>UND</t>
  </si>
  <si>
    <t>QUANT</t>
  </si>
  <si>
    <t>PREÇO
TOTAL</t>
  </si>
  <si>
    <t>PREÇO UNITÁRIO</t>
  </si>
  <si>
    <t>PREÇO TOTAL</t>
  </si>
  <si>
    <t>MATERIAL</t>
  </si>
  <si>
    <t>MÃO DE OBRA</t>
  </si>
  <si>
    <t>1</t>
  </si>
  <si>
    <t>Restauração e Construção de Muretas Revestidas em Chapa</t>
  </si>
  <si>
    <t>1.1</t>
  </si>
  <si>
    <t>Fornecimento de material e mão de obra para restauração ou construção de 150 metros lineares de muretas revestidas em chapa nos corredores e em diversos locais da fábrica. Inclui montagem, soldas sanitárias, quinas, sapatas em pilares, pés de galinha a cada 15 cm com ancoragem a cada 1,20 m ou conforme necessidade, acabamento com ENDURIT RP e rodapé sanitário, fechamento das extremidades, remoção de excessos das sapatas, cortes a 45° nos cantos, recuperação pontual do piso, limpeza e descarte dos resíduos. Execução aos domingos, conforme memorial descritivo da Aurora Coop.</t>
  </si>
  <si>
    <t>ml</t>
  </si>
  <si>
    <t>Subtotal</t>
  </si>
  <si>
    <t>TOTAL ACUMULADO</t>
  </si>
  <si>
    <t>Responsabilidades da CONTRATANTE:</t>
  </si>
  <si>
    <t>Responsabilidades da DEBASE CONSTRUTORA LTDA:</t>
  </si>
  <si>
    <t>1. Liberar toda a área para execução dos serviços aos domingos;</t>
  </si>
  <si>
    <t>1. Fornecer todos os itens exigidos pela legislação trabalhista, incluindo documentação, NRs, ASO e EPIs aplicáveis;</t>
  </si>
  <si>
    <t>2. Acompanhar os serviços, fornecer o layout e as definições necessárias;</t>
  </si>
  <si>
    <t>2. Verificar todas as dimensões no local antes da confecção e montagem;</t>
  </si>
  <si>
    <t>3. Deslocar interferências não previstas no orçamento;</t>
  </si>
  <si>
    <t>3. Fornecer os materiais e a mão de obra qualificada necessários à execução;</t>
  </si>
  <si>
    <t>4. Fornecer água, energia elétrica (220/380 V) e local próximo para montagem do canteiro;</t>
  </si>
  <si>
    <t>4. Fornecer varetas, eletrodos e demais consumíveis de solda;</t>
  </si>
  <si>
    <t>5. Fornecer e sanitizar solda TIG, lixadeiras, discos, ferramentas e equipamentos de içamento quando necessários;</t>
  </si>
  <si>
    <t>6. Manter a obra limpa e organizada, responsabilizando-se pelo descarte dos resíduos gerados;</t>
  </si>
  <si>
    <t>VALIDADE DA PROPOSTA:</t>
  </si>
  <si>
    <t>15 dias</t>
  </si>
  <si>
    <t>CONDIÇÃO DE PAGAMENTO:</t>
  </si>
  <si>
    <t>-</t>
  </si>
  <si>
    <t>FRETE:</t>
  </si>
  <si>
    <t>CIF</t>
  </si>
  <si>
    <t>IMPOSTOS
RECOLHIDOS:</t>
  </si>
  <si>
    <t>Sobre a Mão de Obra:
INSS = Incluso no orçamento
ISS = Incluso no orçamento
Sobre material faturado pela DEBASE CONSTRUTORA LTDA:
PIS = 0,65% Incluso no orçamento
COFINS = 3,0% Incluso no orçamento
IRPJ: 1,20% Incluso no orçamento
ICMS, IPI = 0% Construção civil - isento</t>
  </si>
  <si>
    <t>Atenciosamente,</t>
  </si>
  <si>
    <t>____________________________
Ceser Kiefer
comercial@debaseconstrutora.com.br
Diretor
(49) 99926-9847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</si>
</sst>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&quot;R$&quot; #,##0.00"/>
  </numFmts>
  <fonts count="6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9"/>
      <color theme="1"/>
      <name val="Arial"/>
      <family val="2"/>
    </font>
    <font>
      <sz val="7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9C9C9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rgb="FF111111"/>
      </left>
      <right style="thin">
        <color rgb="FF111111"/>
      </right>
      <top style="thin">
        <color rgb="FF111111"/>
      </top>
      <bottom style="thin">
        <color rgb="FF11111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164" fontId="3" fillId="0" borderId="1" xfId="0" applyNumberFormat="1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right" vertical="center"/>
    </xf>
    <xf numFmtId="165" fontId="3" fillId="3" borderId="1" xfId="0" applyNumberFormat="1" applyFont="1" applyFill="1" applyBorder="1" applyAlignment="1">
      <alignment horizontal="right" vertical="center"/>
    </xf>
    <xf numFmtId="165" fontId="2" fillId="4" borderId="1" xfId="0" applyNumberFormat="1" applyFont="1" applyFill="1" applyBorder="1" applyAlignment="1">
      <alignment horizontal="right" vertical="center"/>
    </xf>
    <xf numFmtId="0" fontId="4" fillId="0" borderId="1" xfId="0" applyFont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0</xdr:row>
      <xdr:rowOff>47625</xdr:rowOff>
    </xdr:from>
    <xdr:to>
      <xdr:col>1</xdr:col>
      <xdr:colOff>148685</xdr:colOff>
      <xdr:row>3</xdr:row>
      <xdr:rowOff>78677</xdr:rowOff>
    </xdr:to>
    <xdr:pic>
      <xdr:nvPicPr>
        <xdr:cNvPr id="2" name="Picture 1" descr="debase-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" y="47625"/>
          <a:ext cx="615410" cy="6787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30"/>
  <sheetViews>
    <sheetView showGridLines="0" tabSelected="1" workbookViewId="0">
      <pane ySplit="7" topLeftCell="A8" activePane="bottomLeft" state="frozen"/>
      <selection pane="bottomLeft"/>
    </sheetView>
  </sheetViews>
  <sheetFormatPr defaultRowHeight="15"/>
  <cols>
    <col min="1" max="1" width="7.7109375" customWidth="1"/>
    <col min="2" max="2" width="66.7109375" customWidth="1"/>
    <col min="3" max="3" width="8.7109375" customWidth="1"/>
    <col min="4" max="4" width="10.7109375" customWidth="1"/>
    <col min="5" max="8" width="15.7109375" customWidth="1"/>
    <col min="9" max="9" width="17.7109375" customWidth="1"/>
  </cols>
  <sheetData>
    <row r="1" spans="1:9" ht="18" customHeight="1">
      <c r="A1" s="1"/>
      <c r="B1" s="1" t="s">
        <v>0</v>
      </c>
      <c r="C1" s="1"/>
      <c r="D1" s="1"/>
      <c r="E1" s="1"/>
      <c r="F1" s="2" t="s">
        <v>1</v>
      </c>
      <c r="G1" s="3" t="s">
        <v>2</v>
      </c>
      <c r="H1" s="3"/>
      <c r="I1" s="3"/>
    </row>
    <row r="2" spans="1:9" ht="17" customHeight="1">
      <c r="A2" s="1"/>
      <c r="B2" s="1"/>
      <c r="C2" s="1"/>
      <c r="D2" s="1"/>
      <c r="E2" s="1"/>
      <c r="F2" s="2" t="s">
        <v>3</v>
      </c>
      <c r="G2" s="3" t="s">
        <v>4</v>
      </c>
      <c r="H2" s="3"/>
      <c r="I2" s="3"/>
    </row>
    <row r="3" spans="1:9" ht="17" customHeight="1">
      <c r="A3" s="1"/>
      <c r="B3" s="1"/>
      <c r="C3" s="1"/>
      <c r="D3" s="1"/>
      <c r="E3" s="1"/>
      <c r="F3" s="2" t="s">
        <v>5</v>
      </c>
      <c r="G3" s="3" t="s">
        <v>6</v>
      </c>
      <c r="H3" s="3"/>
      <c r="I3" s="3"/>
    </row>
    <row r="4" spans="1:9" ht="17" customHeight="1">
      <c r="A4" s="1"/>
      <c r="B4" s="1"/>
      <c r="C4" s="1"/>
      <c r="D4" s="1"/>
      <c r="E4" s="1"/>
      <c r="F4" s="2" t="s">
        <v>7</v>
      </c>
      <c r="G4" s="3" t="s">
        <v>8</v>
      </c>
      <c r="H4" s="3"/>
      <c r="I4" s="3"/>
    </row>
    <row r="5" spans="1:9" ht="17" customHeight="1">
      <c r="A5" s="1"/>
      <c r="B5" s="1"/>
      <c r="C5" s="1"/>
      <c r="D5" s="1"/>
      <c r="E5" s="1"/>
      <c r="F5" s="2" t="s">
        <v>9</v>
      </c>
      <c r="G5" s="3" t="s">
        <v>10</v>
      </c>
      <c r="H5" s="2" t="s">
        <v>11</v>
      </c>
      <c r="I5" s="3" t="s">
        <v>12</v>
      </c>
    </row>
    <row r="6" spans="1:9" ht="19" customHeight="1">
      <c r="A6" s="4" t="s">
        <v>13</v>
      </c>
      <c r="B6" s="4" t="s">
        <v>14</v>
      </c>
      <c r="C6" s="4" t="s">
        <v>15</v>
      </c>
      <c r="D6" s="4" t="s">
        <v>16</v>
      </c>
      <c r="E6" s="4" t="s">
        <v>18</v>
      </c>
      <c r="F6" s="4"/>
      <c r="G6" s="4" t="s">
        <v>19</v>
      </c>
      <c r="H6" s="4"/>
      <c r="I6" s="4" t="s">
        <v>17</v>
      </c>
    </row>
    <row r="7" spans="1:9" ht="18" customHeight="1">
      <c r="A7" s="4"/>
      <c r="B7" s="4"/>
      <c r="C7" s="4"/>
      <c r="D7" s="4"/>
      <c r="E7" s="4" t="s">
        <v>20</v>
      </c>
      <c r="F7" s="4" t="s">
        <v>21</v>
      </c>
      <c r="G7" s="4" t="s">
        <v>20</v>
      </c>
      <c r="H7" s="4" t="s">
        <v>21</v>
      </c>
      <c r="I7" s="4"/>
    </row>
    <row r="8" spans="1:9" ht="18" customHeight="1">
      <c r="A8" s="5" t="s">
        <v>22</v>
      </c>
      <c r="B8" s="6" t="s">
        <v>23</v>
      </c>
      <c r="C8" s="6"/>
      <c r="D8" s="6"/>
      <c r="E8" s="6"/>
      <c r="F8" s="6"/>
      <c r="G8" s="6"/>
      <c r="H8" s="6"/>
      <c r="I8" s="6"/>
    </row>
    <row r="9" spans="1:9" ht="123" customHeight="1">
      <c r="A9" s="7" t="s">
        <v>24</v>
      </c>
      <c r="B9" s="8" t="s">
        <v>25</v>
      </c>
      <c r="C9" s="7" t="s">
        <v>26</v>
      </c>
      <c r="D9" s="9">
        <v>150</v>
      </c>
      <c r="E9" s="10">
        <v>200</v>
      </c>
      <c r="F9" s="10">
        <v>600</v>
      </c>
      <c r="G9" s="11">
        <f>D9*E9</f>
        <v>30000.0</v>
      </c>
      <c r="H9" s="11">
        <f>D9*F9</f>
        <v>90000.0</v>
      </c>
      <c r="I9" s="12">
        <f>G9+H9</f>
        <v>120000.0</v>
      </c>
    </row>
    <row r="10" spans="1:9" ht="18" customHeight="1">
      <c r="A10" s="2" t="s">
        <v>27</v>
      </c>
      <c r="B10" s="2"/>
      <c r="C10" s="2"/>
      <c r="D10" s="2"/>
      <c r="E10" s="2"/>
      <c r="F10" s="2"/>
      <c r="G10" s="11">
        <f>SUM(G9:G9)</f>
        <v>30000.0</v>
      </c>
      <c r="H10" s="11">
        <f>SUM(H9:H9)</f>
        <v>90000.0</v>
      </c>
      <c r="I10" s="12">
        <f>SUM(I9:I9)</f>
        <v>120000.0</v>
      </c>
    </row>
    <row r="12" spans="1:9" ht="22" customHeight="1">
      <c r="A12" s="13" t="s">
        <v>28</v>
      </c>
      <c r="B12" s="13"/>
      <c r="C12" s="13"/>
      <c r="D12" s="13"/>
      <c r="E12" s="13"/>
      <c r="F12" s="13"/>
      <c r="G12" s="11">
        <f>SUM(G10)</f>
        <v>30000.0</v>
      </c>
      <c r="H12" s="11">
        <f>SUM(H10)</f>
        <v>90000.0</v>
      </c>
      <c r="I12" s="12">
        <f>SUM(I10)</f>
        <v>120000.0</v>
      </c>
    </row>
    <row r="14" spans="1:9" ht="18" customHeight="1">
      <c r="A14" s="14" t="s">
        <v>29</v>
      </c>
      <c r="B14" s="14"/>
      <c r="C14" s="14"/>
      <c r="D14" s="14"/>
      <c r="F14" s="14" t="s">
        <v>30</v>
      </c>
      <c r="G14" s="14"/>
      <c r="H14" s="14"/>
      <c r="I14" s="14"/>
    </row>
    <row r="15" spans="1:9" ht="27" customHeight="1">
      <c r="A15" s="15" t="s">
        <v>31</v>
      </c>
      <c r="B15" s="15"/>
      <c r="C15" s="15"/>
      <c r="D15" s="15"/>
      <c r="F15" s="15" t="s">
        <v>32</v>
      </c>
      <c r="G15" s="15"/>
      <c r="H15" s="15"/>
      <c r="I15" s="15"/>
    </row>
    <row r="16" spans="1:9" ht="16" customHeight="1">
      <c r="A16" s="15" t="s">
        <v>33</v>
      </c>
      <c r="B16" s="15"/>
      <c r="C16" s="15"/>
      <c r="D16" s="15"/>
      <c r="F16" s="15" t="s">
        <v>34</v>
      </c>
      <c r="G16" s="15"/>
      <c r="H16" s="15"/>
      <c r="I16" s="15"/>
    </row>
    <row r="17" spans="1:9" ht="16" customHeight="1">
      <c r="A17" s="15" t="s">
        <v>35</v>
      </c>
      <c r="B17" s="15"/>
      <c r="C17" s="15"/>
      <c r="D17" s="15"/>
      <c r="F17" s="15" t="s">
        <v>36</v>
      </c>
      <c r="G17" s="15"/>
      <c r="H17" s="15"/>
      <c r="I17" s="15"/>
    </row>
    <row r="18" spans="1:9" ht="16" customHeight="1">
      <c r="A18" s="15" t="s">
        <v>37</v>
      </c>
      <c r="B18" s="15"/>
      <c r="C18" s="15"/>
      <c r="D18" s="15"/>
      <c r="F18" s="15" t="s">
        <v>38</v>
      </c>
      <c r="G18" s="15"/>
      <c r="H18" s="15"/>
      <c r="I18" s="15"/>
    </row>
    <row r="19" spans="1:9" ht="27" customHeight="1">
      <c r="A19" s="15"/>
      <c r="B19" s="15"/>
      <c r="C19" s="15"/>
      <c r="D19" s="15"/>
      <c r="F19" s="15" t="s">
        <v>39</v>
      </c>
      <c r="G19" s="15"/>
      <c r="H19" s="15"/>
      <c r="I19" s="15"/>
    </row>
    <row r="20" spans="1:9" ht="27" customHeight="1">
      <c r="A20" s="15"/>
      <c r="B20" s="15"/>
      <c r="C20" s="15"/>
      <c r="D20" s="15"/>
      <c r="F20" s="15" t="s">
        <v>40</v>
      </c>
      <c r="G20" s="15"/>
      <c r="H20" s="15"/>
      <c r="I20" s="15"/>
    </row>
    <row r="22" spans="1:9" ht="31" customHeight="1">
      <c r="A22" s="6" t="s">
        <v>41</v>
      </c>
      <c r="B22" s="6"/>
      <c r="C22" s="6"/>
      <c r="D22" s="6"/>
      <c r="E22" s="16" t="s">
        <v>42</v>
      </c>
      <c r="F22" s="17" t="s">
        <v>47</v>
      </c>
      <c r="G22" s="18" t="s">
        <v>48</v>
      </c>
      <c r="H22" s="18"/>
      <c r="I22" s="18"/>
    </row>
    <row r="23" spans="1:9" ht="31" customHeight="1">
      <c r="A23" s="6" t="s">
        <v>43</v>
      </c>
      <c r="B23" s="6"/>
      <c r="C23" s="6"/>
      <c r="D23" s="6"/>
      <c r="E23" s="16" t="s">
        <v>44</v>
      </c>
      <c r="F23" s="17"/>
      <c r="G23" s="18"/>
      <c r="H23" s="18"/>
      <c r="I23" s="18"/>
    </row>
    <row r="24" spans="1:9" ht="31" customHeight="1">
      <c r="A24" s="6" t="s">
        <v>45</v>
      </c>
      <c r="B24" s="6"/>
      <c r="C24" s="6"/>
      <c r="D24" s="6"/>
      <c r="E24" s="16" t="s">
        <v>46</v>
      </c>
      <c r="F24" s="17"/>
      <c r="G24" s="18"/>
      <c r="H24" s="18"/>
      <c r="I24" s="18"/>
    </row>
    <row r="26" spans="1:9" ht="14" customHeight="1">
      <c r="A26" s="19" t="s">
        <v>49</v>
      </c>
      <c r="B26" s="19"/>
      <c r="C26" s="19"/>
      <c r="D26" s="19"/>
      <c r="E26" s="19"/>
      <c r="F26" s="19"/>
      <c r="G26" s="20" t="s">
        <v>50</v>
      </c>
      <c r="H26" s="20"/>
      <c r="I26" s="20"/>
    </row>
    <row r="27" spans="1:9" ht="14" customHeight="1">
      <c r="A27" s="19"/>
      <c r="B27" s="19"/>
      <c r="C27" s="19"/>
      <c r="D27" s="19"/>
      <c r="E27" s="19"/>
      <c r="F27" s="19"/>
      <c r="G27" s="20"/>
      <c r="H27" s="20"/>
      <c r="I27" s="20"/>
    </row>
    <row r="28" spans="1:9" ht="14" customHeight="1">
      <c r="A28" s="19"/>
      <c r="B28" s="19"/>
      <c r="C28" s="19"/>
      <c r="D28" s="19"/>
      <c r="E28" s="19"/>
      <c r="F28" s="19"/>
      <c r="G28" s="20"/>
      <c r="H28" s="20"/>
      <c r="I28" s="20"/>
    </row>
    <row r="29" spans="1:9" ht="14" customHeight="1">
      <c r="A29" s="19"/>
      <c r="B29" s="19"/>
      <c r="C29" s="19"/>
      <c r="D29" s="19"/>
      <c r="E29" s="19"/>
      <c r="F29" s="19"/>
      <c r="G29" s="20"/>
      <c r="H29" s="20"/>
      <c r="I29" s="20"/>
    </row>
    <row r="30" spans="1:9" ht="14" customHeight="1">
      <c r="A30" s="19"/>
      <c r="B30" s="19"/>
      <c r="C30" s="19"/>
      <c r="D30" s="19"/>
      <c r="E30" s="19"/>
      <c r="F30" s="19"/>
      <c r="G30" s="20"/>
      <c r="H30" s="20"/>
      <c r="I30" s="20"/>
    </row>
  </sheetData>
  <mergeCells count="37">
    <mergeCell ref="A1:A5"/>
    <mergeCell ref="B1:E5"/>
    <mergeCell ref="G1:I1"/>
    <mergeCell ref="G2:I2"/>
    <mergeCell ref="G3:I3"/>
    <mergeCell ref="G4:I4"/>
    <mergeCell ref="A6:A7"/>
    <mergeCell ref="B6:B7"/>
    <mergeCell ref="C6:C7"/>
    <mergeCell ref="D6:D7"/>
    <mergeCell ref="I6:I7"/>
    <mergeCell ref="E6:F6"/>
    <mergeCell ref="G6:H6"/>
    <mergeCell ref="B8:I8"/>
    <mergeCell ref="A10:F10"/>
    <mergeCell ref="A12:F12"/>
    <mergeCell ref="A14:D14"/>
    <mergeCell ref="F14:I14"/>
    <mergeCell ref="A15:D15"/>
    <mergeCell ref="F15:I15"/>
    <mergeCell ref="A16:D16"/>
    <mergeCell ref="F16:I16"/>
    <mergeCell ref="A17:D17"/>
    <mergeCell ref="F17:I17"/>
    <mergeCell ref="A18:D18"/>
    <mergeCell ref="F18:I18"/>
    <mergeCell ref="A19:D19"/>
    <mergeCell ref="F19:I19"/>
    <mergeCell ref="A20:D20"/>
    <mergeCell ref="F20:I20"/>
    <mergeCell ref="A22:D22"/>
    <mergeCell ref="A23:D23"/>
    <mergeCell ref="A24:D24"/>
    <mergeCell ref="F22:F24"/>
    <mergeCell ref="G22:I24"/>
    <mergeCell ref="A26:F30"/>
    <mergeCell ref="G26:I30"/>
  </mergeCells>
  <printOptions horizontalCentered="1"/>
  <pageMargins left="0.25" right="0.25" top="0.3" bottom="0.3" header="0.1" footer="0.15"/>
  <pageSetup paperSize="9" fitToHeight="0" orientation="landscape"/>
  <headerFooter>
    <oddFooter>&amp;R&amp;P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Proposta</vt:lpstr>
      <vt:lpstr>Proposta!Print_Area</vt:lpstr>
      <vt:lpstr>Proposta!Print_Titles</vt:lpstr>
    </vt:vector>
  </TitlesOfParts>
  <Company>DEBASE CONSTRUTORA LTDA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Proposta 0698-26-00 - Restauração e construção de muretas revestidas em chapa</dc:title>
  <dc:subject>Proposta comercial</dc:subject>
  <dc:creator>DEBASE CONSTRUTORA LTDA</dc:creator>
  <dc:description>Gerado pelo Estimativa CLI a partir do arquivo JSON da proposta.</dc:description>
  <cp:lastModifiedBy>DEBASE CONSTRUTORA LTDA</cp:lastModifiedBy>
  <dcterms:created xsi:type="dcterms:W3CDTF">2026-08-04T16:32:22Z</dcterms:created>
  <dcterms:modified xsi:type="dcterms:W3CDTF">2026-08-04T16:32:22Z</dcterms:modified>
</cp:coreProperties>
</file>